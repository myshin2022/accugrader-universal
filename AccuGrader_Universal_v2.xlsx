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MC_AnswerKey" sheetId="2" state="visible" r:id="rId4"/>
    <sheet name="MC_Submissions" sheetId="3" state="visible" r:id="rId5"/>
    <sheet name="Essay_Rubric" sheetId="4" state="visible" r:id="rId6"/>
    <sheet name="Essay_Submissions" sheetId="5" state="visible" r:id="rId7"/>
    <sheet name="Setting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<sst xmlns="http://schemas.openxmlformats.org/spreadsheetml/2006/main" count="154" uniqueCount="104">
  <si>
    <t xml:space="preserve">AccuGrader Universal</t>
  </si>
  <si>
    <t xml:space="preserve">Free Grading Tool for Teachers</t>
  </si>
  <si>
    <t xml:space="preserve">QUICK START</t>
  </si>
  <si>
    <t xml:space="preserve">MULTIPLE CHOICE (FREE, No setup needed)</t>
  </si>
  <si>
    <t xml:space="preserve">1. Go to MC_AnswerKey sheet and enter your correct answers</t>
  </si>
  <si>
    <t xml:space="preserve">2. Go to MC_Submissions sheet and enter student answers</t>
  </si>
  <si>
    <t xml:space="preserve">3. Scores calculate automatically using Excel formulas!</t>
  </si>
  <si>
    <t xml:space="preserve">4. Check Score, Percentage, and Feedback columns</t>
  </si>
  <si>
    <t xml:space="preserve">ESSAY GRADING</t>
  </si>
  <si>
    <t xml:space="preserve">Excel cannot directly connect to AI. For essay grading, you have two options:</t>
  </si>
  <si>
    <t xml:space="preserve">Option 1: FREE (Google Sheets)</t>
  </si>
  <si>
    <t xml:space="preserve">  Use our free Google Sheets version with your own OpenAI API key</t>
  </si>
  <si>
    <t xml:space="preserve">  Link: https://docs.google.com/spreadsheets/d/1175M4oK6oFHPSO14DdxJIBYLM9orEkzS7Z4wR9inKFI/copy</t>
  </si>
  <si>
    <t xml:space="preserve">Option 2: EASY (AccuGrader.com)</t>
  </si>
  <si>
    <t xml:space="preserve">  Visit AccuGrader.com for automatic essay grading</t>
  </si>
  <si>
    <t xml:space="preserve">  No API setup required</t>
  </si>
  <si>
    <t xml:space="preserve">  Small monthly fee ($10 to $20)</t>
  </si>
  <si>
    <t xml:space="preserve">HANDWRITTEN ASSIGNMENTS</t>
  </si>
  <si>
    <t xml:space="preserve">Need to grade handwritten papers or scanned answer sheets?</t>
  </si>
  <si>
    <t xml:space="preserve">Visit AccuGrader.com for:</t>
  </si>
  <si>
    <t xml:space="preserve">  Handwriting recognition (OCR)</t>
  </si>
  <si>
    <t xml:space="preserve">  Scanned document grading</t>
  </si>
  <si>
    <t xml:space="preserve">  Automatic answer sheet processing</t>
  </si>
  <si>
    <t xml:space="preserve">Available for a small monthly fee (about $10 to $20 per month)</t>
  </si>
  <si>
    <t xml:space="preserve">Much cheaper than manual grading or hiring help!</t>
  </si>
  <si>
    <t xml:space="preserve">COST</t>
  </si>
  <si>
    <t xml:space="preserve">Multiple Choice in Excel: FREE</t>
  </si>
  <si>
    <t xml:space="preserve">Essay via Google Sheets: About $0.01 to $0.03 per essay (your own API key)</t>
  </si>
  <si>
    <t xml:space="preserve">Essay via AccuGrader.com: Included in monthly subscription</t>
  </si>
  <si>
    <t xml:space="preserve">TIPS</t>
  </si>
  <si>
    <t xml:space="preserve">Test with sample data first (already included!)</t>
  </si>
  <si>
    <t xml:space="preserve">Delete sample data and add your own students</t>
  </si>
  <si>
    <t xml:space="preserve">Copy formulas down for more students</t>
  </si>
  <si>
    <t xml:space="preserve">Customize Essay_Rubric to match your grading criteria</t>
  </si>
  <si>
    <t xml:space="preserve">SUPPORT THIS PROJECT</t>
  </si>
  <si>
    <t xml:space="preserve">This tool is 100% FREE. If it saves you time and you would like to support</t>
  </si>
  <si>
    <t xml:space="preserve">continued development of free educational tools for teachers,</t>
  </si>
  <si>
    <t xml:space="preserve">any contribution is appreciated!</t>
  </si>
  <si>
    <t xml:space="preserve">(Donation link coming soon)</t>
  </si>
  <si>
    <t xml:space="preserve">No pressure and enjoy using this tool regardless!</t>
  </si>
  <si>
    <t xml:space="preserve">Thank you for being an educator!</t>
  </si>
  <si>
    <t xml:space="preserve">Question</t>
  </si>
  <si>
    <t xml:space="preserve">Correct Answer</t>
  </si>
  <si>
    <t xml:space="preserve">Points</t>
  </si>
  <si>
    <t xml:space="preserve">Q1</t>
  </si>
  <si>
    <t xml:space="preserve">A</t>
  </si>
  <si>
    <t xml:space="preserve">Q2</t>
  </si>
  <si>
    <t xml:space="preserve">C</t>
  </si>
  <si>
    <t xml:space="preserve">Q3</t>
  </si>
  <si>
    <t xml:space="preserve">B</t>
  </si>
  <si>
    <t xml:space="preserve">Q4</t>
  </si>
  <si>
    <t xml:space="preserve">D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</si>
  <si>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</si>
  <si>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</si>
  <si>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</si>
  <si>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</si>
  <si>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</si>
  <si>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</si>
  <si>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Student Name</t>
  </si>
  <si>
    <t xml:space="preserve">Student ID</t>
  </si>
  <si>
    <t xml:space="preserve">Score</t>
  </si>
  <si>
    <t xml:space="preserve">Total Points</t>
  </si>
  <si>
    <t xml:space="preserve">Percentage</t>
  </si>
  <si>
    <t xml:space="preserve">Correct Count</t>
  </si>
  <si>
    <t xml:space="preserve">Feedback</t>
  </si>
  <si>
    <t xml:space="preserve">John Smith</t>
  </si>
  <si>
    <t xml:space="preserve">S001</t>
  </si>
  <si>
    <t xml:space="preserve">Jane Doe</t>
  </si>
  <si>
    <t xml:space="preserve">S002</t>
  </si>
  <si>
    <t xml:space="preserve">Bob Wilson</t>
  </si>
  <si>
    <t xml:space="preserve">S003</t>
  </si>
  <si>
    <t xml:space="preserve">Category</t>
  </si>
  <si>
    <t xml:space="preserve">Max Points</t>
  </si>
  <si>
    <t xml:space="preserve">Description</t>
  </si>
  <si>
    <t xml:space="preserve">Content &amp; Ideas</t>
  </si>
  <si>
    <t xml:space="preserve">Quality and depth of ideas, thesis clarity, argument strength</t>
  </si>
  <si>
    <t xml:space="preserve">Organization</t>
  </si>
  <si>
    <t xml:space="preserve">Structure, flow, transitions, introduction and conclusion</t>
  </si>
  <si>
    <t xml:space="preserve">Evidence &amp; Support</t>
  </si>
  <si>
    <t xml:space="preserve">Use of examples, citations, supporting details</t>
  </si>
  <si>
    <t xml:space="preserve">Grammar &amp; Mechanics</t>
  </si>
  <si>
    <t xml:space="preserve">Spelling, punctuation, sentence structure, word choice</t>
  </si>
  <si>
    <t xml:space="preserve">TOTAL</t>
  </si>
  <si>
    <t xml:space="preserve">Assignment</t>
  </si>
  <si>
    <t xml:space="preserve">Essay Text</t>
  </si>
  <si>
    <t xml:space="preserve">Content &amp; Ideas (/40)</t>
  </si>
  <si>
    <t xml:space="preserve">Organization (/20)</t>
  </si>
  <si>
    <t xml:space="preserve">Evidence &amp; Support (/20)</t>
  </si>
  <si>
    <t xml:space="preserve">Grammar &amp; Mechanics (/20)</t>
  </si>
  <si>
    <t xml:space="preserve">Total Score</t>
  </si>
  <si>
    <t xml:space="preserve">Status</t>
  </si>
  <si>
    <t xml:space="preserve">Student Name Here</t>
  </si>
  <si>
    <t xml:space="preserve">Essay on Climate Change</t>
  </si>
  <si>
    <t xml:space="preserve">(Paste student essay text here)</t>
  </si>
  <si>
    <t xml:space="preserve">TODO</t>
  </si>
  <si>
    <t xml:space="preserve">Setting</t>
  </si>
  <si>
    <t xml:space="preserve">Value</t>
  </si>
  <si>
    <t xml:space="preserve">OpenAI API Key</t>
  </si>
  <si>
    <t xml:space="preserve">(Enter your API key here - get from platform.openai.com)</t>
  </si>
  <si>
    <t xml:space="preserve">Model</t>
  </si>
  <si>
    <t xml:space="preserve">gpt-4o-mini</t>
  </si>
  <si>
    <t xml:space="preserve">Note:</t>
  </si>
  <si>
    <t xml:space="preserve">For automated essay grading, use the Google Sheets version</t>
  </si>
  <si>
    <t xml:space="preserve">or visit AccuGrader.com - Excel cannot make API calls directly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</si>
</sst>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4472C4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FCC"/>
        <bgColor rgb="FFFFFFFF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5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false" outlineLevel="0" collapsed="false">
      <c r="A2" s="1" t="s">
        <v>1</v>
      </c>
    </row>
    <row r="3" customFormat="false" ht="15" hidden="false" customHeight="true" outlineLevel="0" collapsed="false">
      <c r="A3" s="3"/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/>
    <row r="6" customFormat="false" ht="15" hidden="false" customHeight="false" outlineLevel="0" collapsed="false">
      <c r="A6" s="4" t="s">
        <v>3</v>
      </c>
    </row>
    <row r="7" customFormat="false" ht="15" hidden="false" customHeight="true" outlineLevel="0" collapsed="false">
      <c r="A7" s="3" t="s">
        <v>4</v>
      </c>
    </row>
    <row r="8" customFormat="false" ht="15" hidden="false" customHeight="true" outlineLevel="0" collapsed="false">
      <c r="A8" s="1" t="s">
        <v>5</v>
      </c>
    </row>
    <row r="9" customFormat="false" ht="15" hidden="false" customHeight="true" outlineLevel="0" collapsed="false">
      <c r="A9" s="1" t="s">
        <v>6</v>
      </c>
    </row>
    <row r="10" customFormat="false" ht="15" hidden="false" customHeight="true" outlineLevel="0" collapsed="false">
      <c r="A10" s="1" t="s">
        <v>7</v>
      </c>
    </row>
    <row r="11" customFormat="false" ht="15" hidden="false" customHeight="true" outlineLevel="0" collapsed="false"/>
    <row r="12" customFormat="false" ht="15" hidden="false" customHeight="false" outlineLevel="0" collapsed="false">
      <c r="A12" s="4" t="s">
        <v>8</v>
      </c>
    </row>
    <row r="13" customFormat="false" ht="15" hidden="false" customHeight="true" outlineLevel="0" collapsed="false">
      <c r="A13" s="3" t="s">
        <v>9</v>
      </c>
    </row>
    <row r="14" customFormat="false" ht="15" hidden="false" customHeight="true" outlineLevel="0" collapsed="false"/>
    <row r="15" customFormat="false" ht="15" hidden="false" customHeight="true" outlineLevel="0" collapsed="false">
      <c r="A15" s="1" t="s">
        <v>10</v>
      </c>
    </row>
    <row r="16" customFormat="false" ht="15" hidden="false" customHeight="true" outlineLevel="0" collapsed="false">
      <c r="A16" s="1" t="s">
        <v>11</v>
      </c>
    </row>
    <row r="17" customFormat="false" ht="15" hidden="false" customHeight="true" outlineLevel="0" collapsed="false">
      <c r="A17" s="1" t="s">
        <v>12</v>
      </c>
    </row>
    <row r="18" customFormat="false" ht="15" hidden="false" customHeight="true" outlineLevel="0" collapsed="false"/>
    <row r="19" customFormat="false" ht="15" hidden="false" customHeight="true" outlineLevel="0" collapsed="false">
      <c r="A19" s="1" t="s">
        <v>13</v>
      </c>
    </row>
    <row r="20" customFormat="false" ht="15" hidden="false" customHeight="false" outlineLevel="0" collapsed="false">
      <c r="A20" s="1" t="s">
        <v>14</v>
      </c>
    </row>
    <row r="21" customFormat="false" ht="15" hidden="false" customHeight="true" outlineLevel="0" collapsed="false">
      <c r="A21" s="3" t="s">
        <v>15</v>
      </c>
    </row>
    <row r="22" customFormat="false" ht="15" hidden="false" customHeight="true" outlineLevel="0" collapsed="false">
      <c r="A22" s="1" t="s">
        <v>16</v>
      </c>
    </row>
    <row r="23" customFormat="false" ht="15" hidden="false" customHeight="true" outlineLevel="0" collapsed="false"/>
    <row r="24" customFormat="false" ht="15" hidden="false" customHeight="false" outlineLevel="0" collapsed="false">
      <c r="A24" s="4" t="s">
        <v>17</v>
      </c>
    </row>
    <row r="25" customFormat="false" ht="15" hidden="false" customHeight="true" outlineLevel="0" collapsed="false">
      <c r="A25" s="3"/>
    </row>
    <row r="26" customFormat="false" ht="15" hidden="false" customHeight="true" outlineLevel="0" collapsed="false">
      <c r="A26" s="1" t="s">
        <v>18</v>
      </c>
    </row>
    <row r="27" customFormat="false" ht="15" hidden="false" customHeight="true" outlineLevel="0" collapsed="false">
      <c r="A27" s="1" t="s">
        <v>19</v>
      </c>
    </row>
    <row r="28" customFormat="false" ht="15" hidden="false" customHeight="true" outlineLevel="0" collapsed="false">
      <c r="A28" s="1" t="s">
        <v>20</v>
      </c>
    </row>
    <row r="29" customFormat="false" ht="15" hidden="false" customHeight="false" outlineLevel="0" collapsed="false">
      <c r="A29" s="1" t="s">
        <v>21</v>
      </c>
    </row>
    <row r="30" customFormat="false" ht="15" hidden="false" customHeight="true" outlineLevel="0" collapsed="false">
      <c r="A30" s="1" t="s">
        <v>22</v>
      </c>
    </row>
    <row r="31" customFormat="false" ht="15" hidden="false" customHeight="true" outlineLevel="0" collapsed="false"/>
    <row r="32" customFormat="false" ht="15" hidden="false" customHeight="false" outlineLevel="0" collapsed="false">
      <c r="A32" s="1" t="s">
        <v>23</v>
      </c>
    </row>
    <row r="33" customFormat="false" ht="15" hidden="false" customHeight="true" outlineLevel="0" collapsed="false">
      <c r="A33" s="1" t="s">
        <v>24</v>
      </c>
    </row>
    <row r="35" customFormat="false" ht="15" hidden="false" customHeight="false" outlineLevel="0" collapsed="false">
      <c r="A35" s="4" t="s">
        <v>25</v>
      </c>
    </row>
    <row r="37" customFormat="false" ht="15" hidden="false" customHeight="false" outlineLevel="0" collapsed="false">
      <c r="A37" s="1" t="s">
        <v>26</v>
      </c>
    </row>
    <row r="38" customFormat="false" ht="15" hidden="false" customHeight="false" outlineLevel="0" collapsed="false">
      <c r="A38" s="1" t="s">
        <v>27</v>
      </c>
    </row>
    <row r="39" customFormat="false" ht="15" hidden="false" customHeight="false" outlineLevel="0" collapsed="false">
      <c r="A39" s="1" t="s">
        <v>28</v>
      </c>
    </row>
    <row r="41" customFormat="false" ht="15" hidden="false" customHeight="false" outlineLevel="0" collapsed="false">
      <c r="A41" s="4" t="s">
        <v>29</v>
      </c>
    </row>
    <row r="43" customFormat="false" ht="15" hidden="false" customHeight="false" outlineLevel="0" collapsed="false">
      <c r="A43" s="1" t="s">
        <v>30</v>
      </c>
    </row>
    <row r="44" customFormat="false" ht="15" hidden="false" customHeight="false" outlineLevel="0" collapsed="false">
      <c r="A44" s="1" t="s">
        <v>31</v>
      </c>
    </row>
    <row r="45" customFormat="false" ht="15" hidden="false" customHeight="false" outlineLevel="0" collapsed="false">
      <c r="A45" s="1" t="s">
        <v>32</v>
      </c>
    </row>
    <row r="46" customFormat="false" ht="15" hidden="false" customHeight="false" outlineLevel="0" collapsed="false">
      <c r="A46" s="1" t="s">
        <v>33</v>
      </c>
    </row>
    <row r="48" customFormat="false" ht="15" hidden="false" customHeight="false" outlineLevel="0" collapsed="false">
      <c r="A48" s="4" t="s">
        <v>34</v>
      </c>
    </row>
    <row r="50" customFormat="false" ht="15" hidden="false" customHeight="false" outlineLevel="0" collapsed="false">
      <c r="A50" s="1" t="s">
        <v>35</v>
      </c>
    </row>
    <row r="51" customFormat="false" ht="15" hidden="false" customHeight="false" outlineLevel="0" collapsed="false">
      <c r="A51" s="1" t="s">
        <v>36</v>
      </c>
    </row>
    <row r="52" customFormat="false" ht="15" hidden="false" customHeight="false" outlineLevel="0" collapsed="false">
      <c r="A52" s="1" t="s">
        <v>37</v>
      </c>
    </row>
    <row r="54" customFormat="false" ht="15" hidden="false" customHeight="false" outlineLevel="0" collapsed="false">
      <c r="A54" s="1" t="s">
        <v>38</v>
      </c>
    </row>
    <row r="56" customFormat="false" ht="15" hidden="false" customHeight="false" outlineLevel="0" collapsed="false">
      <c r="A56" s="1" t="s">
        <v>39</v>
      </c>
    </row>
    <row r="58" customFormat="false" ht="15" hidden="false" customHeight="false" outlineLevel="0" collapsed="false">
      <c r="A58" s="1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8"/>
    <col collapsed="false" customWidth="true" hidden="false" outlineLevel="0" max="3" min="3" style="1" width="12"/>
  </cols>
  <sheetData>
    <row r="1" customFormat="false" ht="15" hidden="false" customHeight="true" outlineLevel="0" collapsed="false">
      <c r="A1" s="5" t="s">
        <v>41</v>
      </c>
      <c r="B1" s="5" t="s">
        <v>42</v>
      </c>
      <c r="C1" s="5" t="s">
        <v>43</v>
      </c>
    </row>
    <row r="2" customFormat="false" ht="15" hidden="false" customHeight="true" outlineLevel="0" collapsed="false">
      <c r="A2" s="6" t="s">
        <v>44</v>
      </c>
      <c r="B2" s="6" t="s">
        <v>45</v>
      </c>
      <c r="C2" s="6" t="n">
        <v>2</v>
      </c>
    </row>
    <row r="3" customFormat="false" ht="15" hidden="false" customHeight="true" outlineLevel="0" collapsed="false">
      <c r="A3" s="6" t="s">
        <v>46</v>
      </c>
      <c r="B3" s="6" t="s">
        <v>47</v>
      </c>
      <c r="C3" s="6" t="n">
        <v>2</v>
      </c>
    </row>
    <row r="4" customFormat="false" ht="15" hidden="false" customHeight="true" outlineLevel="0" collapsed="false">
      <c r="A4" s="6" t="s">
        <v>48</v>
      </c>
      <c r="B4" s="6" t="s">
        <v>49</v>
      </c>
      <c r="C4" s="6" t="n">
        <v>2</v>
      </c>
    </row>
    <row r="5" customFormat="false" ht="15" hidden="false" customHeight="true" outlineLevel="0" collapsed="false">
      <c r="A5" s="6" t="s">
        <v>50</v>
      </c>
      <c r="B5" s="6" t="s">
        <v>51</v>
      </c>
      <c r="C5" s="6" t="n">
        <v>2</v>
      </c>
    </row>
    <row r="6" customFormat="false" ht="15" hidden="false" customHeight="true" outlineLevel="0" collapsed="false">
      <c r="A6" s="6" t="s">
        <v>52</v>
      </c>
      <c r="B6" s="6" t="s">
        <v>45</v>
      </c>
      <c r="C6" s="6" t="n">
        <v>2</v>
      </c>
    </row>
    <row r="7" customFormat="false" ht="15" hidden="false" customHeight="true" outlineLevel="0" collapsed="false">
      <c r="A7" s="6" t="s">
        <v>53</v>
      </c>
      <c r="B7" s="6" t="s">
        <v>49</v>
      </c>
      <c r="C7" s="6" t="n">
        <v>1</v>
      </c>
    </row>
    <row r="8" customFormat="false" ht="15" hidden="false" customHeight="true" outlineLevel="0" collapsed="false">
      <c r="A8" s="6" t="s">
        <v>54</v>
      </c>
      <c r="B8" s="6" t="s">
        <v>47</v>
      </c>
      <c r="C8" s="6" t="n">
        <v>1</v>
      </c>
    </row>
    <row r="9" customFormat="false" ht="15" hidden="false" customHeight="true" outlineLevel="0" collapsed="false">
      <c r="A9" s="6" t="s">
        <v>55</v>
      </c>
      <c r="B9" s="6" t="s">
        <v>45</v>
      </c>
      <c r="C9" s="6" t="n">
        <v>1</v>
      </c>
    </row>
    <row r="10" customFormat="false" ht="15" hidden="false" customHeight="true" outlineLevel="0" collapsed="false">
      <c r="A10" s="6" t="s">
        <v>56</v>
      </c>
      <c r="B10" s="6" t="s">
        <v>51</v>
      </c>
      <c r="C10" s="6" t="n">
        <v>1</v>
      </c>
    </row>
    <row r="11" customFormat="false" ht="15" hidden="false" customHeight="true" outlineLevel="0" collapsed="false">
      <c r="A11" s="6" t="s">
        <v>57</v>
      </c>
      <c r="B11" s="6" t="s">
        <v>49</v>
      </c>
      <c r="C11" s="6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2"/>
    <col collapsed="false" customWidth="true" hidden="false" outlineLevel="0" max="12" min="3" style="1" width="6"/>
    <col collapsed="false" customWidth="true" hidden="false" outlineLevel="0" max="13" min="13" style="1" width="10"/>
    <col collapsed="false" customWidth="true" hidden="false" outlineLevel="0" max="15" min="14" style="1" width="12"/>
    <col collapsed="false" customWidth="true" hidden="false" outlineLevel="0" max="16" min="16" style="1" width="14"/>
    <col collapsed="false" customWidth="true" hidden="false" outlineLevel="0" max="17" min="17" style="1" width="25"/>
  </cols>
  <sheetData>
    <row r="1" customFormat="false" ht="27.75" hidden="false" customHeight="true" outlineLevel="0" collapsed="false">
      <c r="A1" s="5" t="s">
        <v>58</v>
      </c>
      <c r="B1" s="5" t="s">
        <v>59</v>
      </c>
      <c r="C1" s="5" t="s">
        <v>44</v>
      </c>
      <c r="D1" s="5" t="s">
        <v>46</v>
      </c>
      <c r="E1" s="5" t="s">
        <v>48</v>
      </c>
      <c r="F1" s="5" t="s">
        <v>50</v>
      </c>
      <c r="G1" s="5" t="s">
        <v>52</v>
      </c>
      <c r="H1" s="5" t="s">
        <v>53</v>
      </c>
      <c r="I1" s="5" t="s">
        <v>54</v>
      </c>
      <c r="J1" s="5" t="s">
        <v>55</v>
      </c>
      <c r="K1" s="5" t="s">
        <v>56</v>
      </c>
      <c r="L1" s="5" t="s">
        <v>57</v>
      </c>
      <c r="M1" s="5" t="s">
        <v>60</v>
      </c>
      <c r="N1" s="5" t="s">
        <v>61</v>
      </c>
      <c r="O1" s="5" t="s">
        <v>62</v>
      </c>
      <c r="P1" s="5" t="s">
        <v>63</v>
      </c>
      <c r="Q1" s="5" t="s">
        <v>64</v>
      </c>
    </row>
    <row r="2" customFormat="false" ht="15" hidden="false" customHeight="true" outlineLevel="0" collapsed="false">
      <c r="A2" s="6" t="s">
        <v>65</v>
      </c>
      <c r="B2" s="6" t="s">
        <v>66</v>
      </c>
      <c r="C2" s="6" t="s">
        <v>45</v>
      </c>
      <c r="D2" s="6" t="s">
        <v>47</v>
      </c>
      <c r="E2" s="6" t="s">
        <v>49</v>
      </c>
      <c r="F2" s="6" t="s">
        <v>51</v>
      </c>
      <c r="G2" s="6" t="s">
        <v>45</v>
      </c>
      <c r="H2" s="6" t="s">
        <v>49</v>
      </c>
      <c r="I2" s="6" t="s">
        <v>47</v>
      </c>
      <c r="J2" s="6" t="s">
        <v>45</v>
      </c>
      <c r="K2" s="6" t="s">
        <v>51</v>
      </c>
      <c r="L2" s="6" t="s">
        <v>49</v>
      </c>
      <c r="M2" s="7" t="n">
        <f aca="false">SUMPRODUCT((C2:L2=MC_AnswerKey!$B$2:$B$11)*MC_AnswerKey!$C$2:$C$11)</f>
        <v>39</v>
      </c>
      <c r="N2" s="7" t="n">
        <f aca="false">SUM(MC_AnswerKey!$C$2:$C$11)</f>
        <v>15</v>
      </c>
      <c r="O2" s="8" t="n">
        <f aca="false">IF(N2&gt;0,M2/N2,0)</f>
        <v>2.6</v>
      </c>
      <c r="P2" s="7" t="n">
        <f aca="false">SUMPRODUCT((C2:L2=MC_AnswerKey!$B$2:$B$11)*1)</f>
        <v>26</v>
      </c>
      <c r="Q2" s="7" t="str">
        <f aca="false">IF(O2&gt;=0.9,"Excellent!",IF(O2&gt;=0.7,"Good job!",IF(O2&gt;=0.5,"Needs improvement","Please review the material")))</f>
        <v>Excellent!</v>
      </c>
    </row>
    <row r="3" customFormat="false" ht="15" hidden="false" customHeight="true" outlineLevel="0" collapsed="false">
      <c r="A3" s="6" t="s">
        <v>67</v>
      </c>
      <c r="B3" s="6" t="s">
        <v>68</v>
      </c>
      <c r="C3" s="6" t="s">
        <v>45</v>
      </c>
      <c r="D3" s="6" t="s">
        <v>49</v>
      </c>
      <c r="E3" s="6" t="s">
        <v>49</v>
      </c>
      <c r="F3" s="6" t="s">
        <v>51</v>
      </c>
      <c r="G3" s="6" t="s">
        <v>47</v>
      </c>
      <c r="H3" s="6" t="s">
        <v>49</v>
      </c>
      <c r="I3" s="6" t="s">
        <v>45</v>
      </c>
      <c r="J3" s="6" t="s">
        <v>45</v>
      </c>
      <c r="K3" s="6" t="s">
        <v>51</v>
      </c>
      <c r="L3" s="6" t="s">
        <v>49</v>
      </c>
      <c r="M3" s="7" t="n">
        <f aca="false">SUMPRODUCT((C3:L3=MC_AnswerKey!$B$2:$B$11)*MC_AnswerKey!$C$2:$C$11)</f>
        <v>40</v>
      </c>
      <c r="N3" s="7" t="n">
        <f aca="false">SUM(MC_AnswerKey!$C$2:$C$11)</f>
        <v>15</v>
      </c>
      <c r="O3" s="8" t="n">
        <f aca="false">IF(N3&gt;0,M3/N3,0)</f>
        <v>2.66666666666667</v>
      </c>
      <c r="P3" s="7" t="n">
        <f aca="false">SUMPRODUCT((C3:L3=MC_AnswerKey!$B$2:$B$11)*1)</f>
        <v>27</v>
      </c>
      <c r="Q3" s="7" t="str">
        <f aca="false">IF(O3&gt;=0.9,"Excellent!",IF(O3&gt;=0.7,"Good job!",IF(O3&gt;=0.5,"Needs improvement","Please review the material")))</f>
        <v>Excellent!</v>
      </c>
    </row>
    <row r="4" customFormat="false" ht="15" hidden="false" customHeight="true" outlineLevel="0" collapsed="false">
      <c r="A4" s="6" t="s">
        <v>69</v>
      </c>
      <c r="B4" s="6" t="s">
        <v>70</v>
      </c>
      <c r="C4" s="6" t="s">
        <v>45</v>
      </c>
      <c r="D4" s="6" t="s">
        <v>47</v>
      </c>
      <c r="E4" s="6" t="s">
        <v>45</v>
      </c>
      <c r="F4" s="6" t="s">
        <v>51</v>
      </c>
      <c r="G4" s="6" t="s">
        <v>45</v>
      </c>
      <c r="H4" s="6" t="s">
        <v>49</v>
      </c>
      <c r="I4" s="6" t="s">
        <v>47</v>
      </c>
      <c r="J4" s="6" t="s">
        <v>49</v>
      </c>
      <c r="K4" s="6" t="s">
        <v>51</v>
      </c>
      <c r="L4" s="6" t="s">
        <v>45</v>
      </c>
      <c r="M4" s="7" t="n">
        <f aca="false">SUMPRODUCT((C4:L4=MC_AnswerKey!$B$2:$B$11)*MC_AnswerKey!$C$2:$C$11)</f>
        <v>40</v>
      </c>
      <c r="N4" s="7" t="n">
        <f aca="false">SUM(MC_AnswerKey!$C$2:$C$11)</f>
        <v>15</v>
      </c>
      <c r="O4" s="8" t="n">
        <f aca="false">IF(N4&gt;0,M4/N4,0)</f>
        <v>2.66666666666667</v>
      </c>
      <c r="P4" s="7" t="n">
        <f aca="false">SUMPRODUCT((C4:L4=MC_AnswerKey!$B$2:$B$11)*1)</f>
        <v>26</v>
      </c>
      <c r="Q4" s="7" t="str">
        <f aca="false">IF(O4&gt;=0.9,"Excellent!",IF(O4&gt;=0.7,"Good job!",IF(O4&gt;=0.5,"Needs improvement","Please review the material")))</f>
        <v>Excellent!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3" min="3" style="1" width="60"/>
  </cols>
  <sheetData>
    <row r="1" customFormat="false" ht="15" hidden="false" customHeight="true" outlineLevel="0" collapsed="false">
      <c r="A1" s="5" t="s">
        <v>71</v>
      </c>
      <c r="B1" s="5" t="s">
        <v>72</v>
      </c>
      <c r="C1" s="5" t="s">
        <v>73</v>
      </c>
    </row>
    <row r="2" customFormat="false" ht="15" hidden="false" customHeight="true" outlineLevel="0" collapsed="false">
      <c r="A2" s="6" t="s">
        <v>74</v>
      </c>
      <c r="B2" s="6" t="n">
        <v>40</v>
      </c>
      <c r="C2" s="6" t="s">
        <v>75</v>
      </c>
    </row>
    <row r="3" customFormat="false" ht="15" hidden="false" customHeight="true" outlineLevel="0" collapsed="false">
      <c r="A3" s="6" t="s">
        <v>76</v>
      </c>
      <c r="B3" s="6" t="n">
        <v>20</v>
      </c>
      <c r="C3" s="6" t="s">
        <v>77</v>
      </c>
    </row>
    <row r="4" customFormat="false" ht="15" hidden="false" customHeight="true" outlineLevel="0" collapsed="false">
      <c r="A4" s="6" t="s">
        <v>78</v>
      </c>
      <c r="B4" s="6" t="n">
        <v>20</v>
      </c>
      <c r="C4" s="6" t="s">
        <v>79</v>
      </c>
    </row>
    <row r="5" customFormat="false" ht="15" hidden="false" customHeight="true" outlineLevel="0" collapsed="false">
      <c r="A5" s="6" t="s">
        <v>80</v>
      </c>
      <c r="B5" s="6" t="n">
        <v>20</v>
      </c>
      <c r="C5" s="6" t="s">
        <v>81</v>
      </c>
    </row>
    <row r="6" customFormat="false" ht="15" hidden="false" customHeight="true" outlineLevel="0" collapsed="false">
      <c r="A6" s="9" t="s">
        <v>82</v>
      </c>
      <c r="B6" s="9" t="n">
        <f aca="false">SUM(B2:B5)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2"/>
    <col collapsed="false" customWidth="true" hidden="false" outlineLevel="0" max="3" min="3" style="1" width="22"/>
    <col collapsed="false" customWidth="true" hidden="false" outlineLevel="0" max="4" min="4" style="1" width="50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20"/>
    <col collapsed="false" customWidth="true" hidden="false" outlineLevel="0" max="8" min="8" style="1" width="22"/>
    <col collapsed="false" customWidth="true" hidden="false" outlineLevel="0" max="9" min="9" style="1" width="12"/>
    <col collapsed="false" customWidth="true" hidden="false" outlineLevel="0" max="10" min="10" style="1" width="40"/>
    <col collapsed="false" customWidth="true" hidden="false" outlineLevel="0" max="11" min="11" style="1" width="10"/>
  </cols>
  <sheetData>
    <row r="1" customFormat="false" ht="27.75" hidden="false" customHeight="true" outlineLevel="0" collapsed="false">
      <c r="A1" s="5" t="s">
        <v>58</v>
      </c>
      <c r="B1" s="5" t="s">
        <v>59</v>
      </c>
      <c r="C1" s="5" t="s">
        <v>83</v>
      </c>
      <c r="D1" s="5" t="s">
        <v>84</v>
      </c>
      <c r="E1" s="5" t="s">
        <v>85</v>
      </c>
      <c r="F1" s="5" t="s">
        <v>86</v>
      </c>
      <c r="G1" s="5" t="s">
        <v>87</v>
      </c>
      <c r="H1" s="5" t="s">
        <v>88</v>
      </c>
      <c r="I1" s="5" t="s">
        <v>89</v>
      </c>
      <c r="J1" s="5" t="s">
        <v>64</v>
      </c>
      <c r="K1" s="5" t="s">
        <v>90</v>
      </c>
    </row>
    <row r="2" customFormat="false" ht="15" hidden="false" customHeight="true" outlineLevel="0" collapsed="false">
      <c r="A2" s="6" t="s">
        <v>91</v>
      </c>
      <c r="B2" s="6" t="s">
        <v>66</v>
      </c>
      <c r="C2" s="6" t="s">
        <v>92</v>
      </c>
      <c r="D2" s="6" t="s">
        <v>93</v>
      </c>
      <c r="E2" s="7"/>
      <c r="F2" s="7"/>
      <c r="G2" s="7"/>
      <c r="H2" s="7"/>
      <c r="I2" s="7" t="n">
        <f aca="false">SUM(E2:H2)</f>
        <v>0</v>
      </c>
      <c r="J2" s="7"/>
      <c r="K2" s="7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60"/>
  </cols>
  <sheetData>
    <row r="1" customFormat="false" ht="15" hidden="false" customHeight="true" outlineLevel="0" collapsed="false">
      <c r="A1" s="5" t="s">
        <v>95</v>
      </c>
      <c r="B1" s="5" t="s">
        <v>96</v>
      </c>
    </row>
    <row r="2" customFormat="false" ht="15" hidden="false" customHeight="true" outlineLevel="0" collapsed="false">
      <c r="A2" s="1" t="s">
        <v>97</v>
      </c>
      <c r="B2" s="6" t="s">
        <v>98</v>
      </c>
    </row>
    <row r="3" customFormat="false" ht="15" hidden="false" customHeight="true" outlineLevel="0" collapsed="false">
      <c r="A3" s="1" t="s">
        <v>99</v>
      </c>
      <c r="B3" s="1" t="s">
        <v>100</v>
      </c>
    </row>
    <row r="5" customFormat="false" ht="15" hidden="false" customHeight="true" outlineLevel="0" collapsed="false">
      <c r="A5" s="1" t="s">
        <v>101</v>
      </c>
      <c r="B5" s="1" t="s">
        <v>102</v>
      </c>
    </row>
    <row r="6" customFormat="false" ht="15" hidden="false" customHeight="true" outlineLevel="0" collapsed="false">
      <c r="B6" s="1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2026-02-10T00:47:55Z</dcterms:created>
  <dc:creator>openpyxl</dc:creator>
  <dc:description/>
  <dc:language>en-US</dc:language>
  <cp:lastModifiedBy/>
  <dcterms:modified xsi:type="dcterms:W3CDTF">2026-02-10T03:07:24Z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