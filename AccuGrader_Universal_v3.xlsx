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C_AnswerKey" sheetId="2" state="visible" r:id="rId4"/>
    <sheet name="MC_Submissions" sheetId="3" state="visible" r:id="rId5"/>
    <sheet name="Essay_Rubric" sheetId="4" state="visible" r:id="rId6"/>
    <sheet name="Essay_Submiss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<sst xmlns="http://schemas.openxmlformats.org/spreadsheetml/2006/main" count="123" uniqueCount="74">
  <si>
    <t xml:space="preserve">AccuGrader Universal</t>
  </si>
  <si>
    <t xml:space="preserve">Free Grading Tool for Teachers</t>
  </si>
  <si>
    <t xml:space="preserve">QUICK START</t>
  </si>
  <si>
    <t xml:space="preserve">MULTIPLE CHOICE (FREE, No setup needed)</t>
  </si>
  <si>
    <t xml:space="preserve">1. Go to MC_AnswerKey sheet and enter your correct answers</t>
  </si>
  <si>
    <t xml:space="preserve">2. Go to MC_Submissions sheet and enter student answers</t>
  </si>
  <si>
    <t xml:space="preserve">3. Scores calculate automatically using Excel formulas!</t>
  </si>
  <si>
    <t xml:space="preserve">4. Check Score, Percentage, and Feedback columns</t>
  </si>
  <si>
    <t xml:space="preserve">ESSAY GRADING</t>
  </si>
  <si>
    <t xml:space="preserve">Excel cannot directly connect to AI. For essay grading, you have two options:</t>
  </si>
  <si>
    <t xml:space="preserve">Option 1: FREE (Google Sheets)</t>
  </si>
  <si>
    <t xml:space="preserve">  Use our free Google Sheets version with your own OpenAI API key</t>
  </si>
  <si>
    <t xml:space="preserve">  Link: https://docs.google.com/spreadsheets/d/1175M4oK6oFHPSO14DdxJIBYLM9orEkzS7Z4wR9inKFI/copy</t>
  </si>
  <si>
    <t xml:space="preserve">Option 2: EASY (AccuGrader.com)</t>
  </si>
  <si>
    <t xml:space="preserve">  Visit AccuGrader.com for automatic essay grading</t>
  </si>
  <si>
    <t xml:space="preserve">  No API setup required</t>
  </si>
  <si>
    <t xml:space="preserve">  Small monthly fee ($10 to $20)</t>
  </si>
  <si>
    <t xml:space="preserve">HANDWRITTEN ASSIGNMENTS</t>
  </si>
  <si>
    <t xml:space="preserve">Need to grade handwritten papers or scanned answer sheets?</t>
  </si>
  <si>
    <t xml:space="preserve">Visit AccuGrader.com for:</t>
  </si>
  <si>
    <t xml:space="preserve">  Handwriting recognition (OCR)</t>
  </si>
  <si>
    <t xml:space="preserve">  Scanned document grading</t>
  </si>
  <si>
    <t xml:space="preserve">  Automatic answer sheet processing</t>
  </si>
  <si>
    <t xml:space="preserve">Available for a small monthly fee (about $10 to $20 per month)</t>
  </si>
  <si>
    <t xml:space="preserve">Much cheaper than manual grading or hiring help!</t>
  </si>
  <si>
    <t xml:space="preserve">COST</t>
  </si>
  <si>
    <t xml:space="preserve">Multiple Choice in Excel: FREE</t>
  </si>
  <si>
    <t xml:space="preserve">Essay via Google Sheets: About $0.01 to $0.03 per essay (your own API key)</t>
  </si>
  <si>
    <t xml:space="preserve">Essay via AccuGrader.com: Included in monthly subscription</t>
  </si>
  <si>
    <t xml:space="preserve">Thank you for being an educator!</t>
  </si>
  <si>
    <t xml:space="preserve">Question</t>
  </si>
  <si>
    <t xml:space="preserve">Correct Answer</t>
  </si>
  <si>
    <t xml:space="preserve">Points</t>
  </si>
  <si>
    <t xml:space="preserve">Q1</t>
  </si>
  <si>
    <t xml:space="preserve">A</t>
  </si>
  <si>
    <t xml:space="preserve">Q2</t>
  </si>
  <si>
    <t xml:space="preserve">C</t>
  </si>
  <si>
    <t xml:space="preserve">Q3</t>
  </si>
  <si>
    <t xml:space="preserve">B</t>
  </si>
  <si>
    <t xml:space="preserve">Q4</t>
  </si>
  <si>
    <t xml:space="preserve">D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</si>
  <si>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</si>
  <si>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</si>
  <si>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</si>
  <si>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</si>
  <si>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</si>
  <si>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</si>
  <si>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Student Name</t>
  </si>
  <si>
    <t xml:space="preserve">Student ID</t>
  </si>
  <si>
    <t xml:space="preserve">Score</t>
  </si>
  <si>
    <t xml:space="preserve">Total</t>
  </si>
  <si>
    <t xml:space="preserve">Percentage</t>
  </si>
  <si>
    <t xml:space="preserve">Feedback</t>
  </si>
  <si>
    <t xml:space="preserve">John Smith</t>
  </si>
  <si>
    <t xml:space="preserve">S001</t>
  </si>
  <si>
    <t xml:space="preserve">Jane Doe</t>
  </si>
  <si>
    <t xml:space="preserve">S002</t>
  </si>
  <si>
    <t xml:space="preserve">Bob Wilson</t>
  </si>
  <si>
    <t xml:space="preserve">S003</t>
  </si>
  <si>
    <t xml:space="preserve">Category</t>
  </si>
  <si>
    <t xml:space="preserve">Max Points</t>
  </si>
  <si>
    <t xml:space="preserve">Description</t>
  </si>
  <si>
    <t xml:space="preserve">Content &amp; Ideas</t>
  </si>
  <si>
    <t xml:space="preserve">Quality and depth of ideas</t>
  </si>
  <si>
    <t xml:space="preserve">Organization</t>
  </si>
  <si>
    <t xml:space="preserve">Structure and flow</t>
  </si>
  <si>
    <t xml:space="preserve">Evidence &amp; Support</t>
  </si>
  <si>
    <t xml:space="preserve">Use of examples and citations</t>
  </si>
  <si>
    <t xml:space="preserve">Grammar &amp; Mechanics</t>
  </si>
  <si>
    <t xml:space="preserve">Writing quality</t>
  </si>
  <si>
    <t xml:space="preserve">Assignment</t>
  </si>
  <si>
    <t xml:space="preserve">Essay Text</t>
  </si>
  <si>
    <t xml:space="preserve">Status</t>
  </si>
  <si>
    <t xml:space="preserve">(Use Google Sheets version for AI essay grading)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</si>
</sst>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C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0" customFormat="false" ht="15" hidden="false" customHeight="false" outlineLevel="0" collapsed="false">
      <c r="A20" s="0" t="s">
        <v>14</v>
      </c>
    </row>
    <row r="21" customFormat="false" ht="15" hidden="false" customHeight="false" outlineLevel="0" collapsed="false">
      <c r="A21" s="0" t="s">
        <v>15</v>
      </c>
    </row>
    <row r="22" customFormat="false" ht="15" hidden="false" customHeight="false" outlineLevel="0" collapsed="false">
      <c r="A22" s="0" t="s">
        <v>16</v>
      </c>
    </row>
    <row r="24" customFormat="false" ht="15" hidden="false" customHeight="false" outlineLevel="0" collapsed="false">
      <c r="A24" s="2" t="s">
        <v>17</v>
      </c>
    </row>
    <row r="26" customFormat="false" ht="15" hidden="false" customHeight="false" outlineLevel="0" collapsed="false">
      <c r="A26" s="0" t="s">
        <v>18</v>
      </c>
    </row>
    <row r="27" customFormat="false" ht="15" hidden="false" customHeight="false" outlineLevel="0" collapsed="false">
      <c r="A27" s="0" t="s">
        <v>19</v>
      </c>
    </row>
    <row r="28" customFormat="false" ht="15" hidden="false" customHeight="false" outlineLevel="0" collapsed="false">
      <c r="A28" s="0" t="s">
        <v>20</v>
      </c>
    </row>
    <row r="29" customFormat="false" ht="15" hidden="false" customHeight="false" outlineLevel="0" collapsed="false">
      <c r="A29" s="0" t="s">
        <v>21</v>
      </c>
    </row>
    <row r="30" customFormat="false" ht="15" hidden="false" customHeight="false" outlineLevel="0" collapsed="false">
      <c r="A30" s="0" t="s">
        <v>22</v>
      </c>
    </row>
    <row r="32" customFormat="false" ht="15" hidden="false" customHeight="false" outlineLevel="0" collapsed="false">
      <c r="A32" s="0" t="s">
        <v>23</v>
      </c>
    </row>
    <row r="33" customFormat="false" ht="15" hidden="false" customHeight="false" outlineLevel="0" collapsed="false">
      <c r="A33" s="0" t="s">
        <v>24</v>
      </c>
    </row>
    <row r="35" customFormat="false" ht="15" hidden="false" customHeight="false" outlineLevel="0" collapsed="false">
      <c r="A35" s="2" t="s">
        <v>25</v>
      </c>
    </row>
    <row r="37" customFormat="false" ht="15" hidden="false" customHeight="false" outlineLevel="0" collapsed="false">
      <c r="A37" s="0" t="s">
        <v>26</v>
      </c>
    </row>
    <row r="38" customFormat="false" ht="15" hidden="false" customHeight="false" outlineLevel="0" collapsed="false">
      <c r="A38" s="0" t="s">
        <v>27</v>
      </c>
    </row>
    <row r="39" customFormat="false" ht="15" hidden="false" customHeight="false" outlineLevel="0" collapsed="false">
      <c r="A39" s="0" t="s">
        <v>28</v>
      </c>
    </row>
    <row r="41" customFormat="false" ht="15" hidden="false" customHeight="false" outlineLevel="0" collapsed="false">
      <c r="A41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n">
        <v>1</v>
      </c>
    </row>
    <row r="3" customFormat="false" ht="15" hidden="false" customHeight="false" outlineLevel="0" collapsed="false">
      <c r="A3" s="4" t="s">
        <v>35</v>
      </c>
      <c r="B3" s="4" t="s">
        <v>36</v>
      </c>
      <c r="C3" s="4" t="n">
        <v>1</v>
      </c>
    </row>
    <row r="4" customFormat="false" ht="15" hidden="false" customHeight="false" outlineLevel="0" collapsed="false">
      <c r="A4" s="4" t="s">
        <v>37</v>
      </c>
      <c r="B4" s="4" t="s">
        <v>38</v>
      </c>
      <c r="C4" s="4" t="n">
        <v>1</v>
      </c>
    </row>
    <row r="5" customFormat="false" ht="15" hidden="false" customHeight="false" outlineLevel="0" collapsed="false">
      <c r="A5" s="4" t="s">
        <v>39</v>
      </c>
      <c r="B5" s="4" t="s">
        <v>40</v>
      </c>
      <c r="C5" s="4" t="n">
        <v>1</v>
      </c>
    </row>
    <row r="6" customFormat="false" ht="15" hidden="false" customHeight="false" outlineLevel="0" collapsed="false">
      <c r="A6" s="4" t="s">
        <v>41</v>
      </c>
      <c r="B6" s="4" t="s">
        <v>34</v>
      </c>
      <c r="C6" s="4" t="n">
        <v>1</v>
      </c>
    </row>
    <row r="7" customFormat="false" ht="15" hidden="false" customHeight="false" outlineLevel="0" collapsed="false">
      <c r="A7" s="4" t="s">
        <v>42</v>
      </c>
      <c r="B7" s="4" t="s">
        <v>38</v>
      </c>
      <c r="C7" s="4" t="n">
        <v>1</v>
      </c>
    </row>
    <row r="8" customFormat="false" ht="15" hidden="false" customHeight="false" outlineLevel="0" collapsed="false">
      <c r="A8" s="4" t="s">
        <v>43</v>
      </c>
      <c r="B8" s="4" t="s">
        <v>36</v>
      </c>
      <c r="C8" s="4" t="n">
        <v>1</v>
      </c>
    </row>
    <row r="9" customFormat="false" ht="15" hidden="false" customHeight="false" outlineLevel="0" collapsed="false">
      <c r="A9" s="4" t="s">
        <v>44</v>
      </c>
      <c r="B9" s="4" t="s">
        <v>34</v>
      </c>
      <c r="C9" s="4" t="n">
        <v>1</v>
      </c>
    </row>
    <row r="10" customFormat="false" ht="15" hidden="false" customHeight="false" outlineLevel="0" collapsed="false">
      <c r="A10" s="4" t="s">
        <v>45</v>
      </c>
      <c r="B10" s="4" t="s">
        <v>40</v>
      </c>
      <c r="C10" s="4" t="n">
        <v>1</v>
      </c>
    </row>
    <row r="11" customFormat="false" ht="15" hidden="false" customHeight="false" outlineLevel="0" collapsed="false">
      <c r="A11" s="4" t="s">
        <v>46</v>
      </c>
      <c r="B11" s="4" t="s">
        <v>38</v>
      </c>
      <c r="C11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12" min="3" style="0" width="5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3" t="s">
        <v>47</v>
      </c>
      <c r="B1" s="3" t="s">
        <v>48</v>
      </c>
      <c r="C1" s="3" t="s">
        <v>33</v>
      </c>
      <c r="D1" s="3" t="s">
        <v>35</v>
      </c>
      <c r="E1" s="3" t="s">
        <v>37</v>
      </c>
      <c r="F1" s="3" t="s">
        <v>39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49</v>
      </c>
      <c r="N1" s="3" t="s">
        <v>50</v>
      </c>
      <c r="O1" s="3" t="s">
        <v>51</v>
      </c>
      <c r="P1" s="3" t="s">
        <v>52</v>
      </c>
    </row>
    <row r="2" customFormat="false" ht="15" hidden="false" customHeight="false" outlineLevel="0" collapsed="false">
      <c r="A2" s="4" t="s">
        <v>53</v>
      </c>
      <c r="B2" s="4" t="s">
        <v>54</v>
      </c>
      <c r="C2" s="4" t="s">
        <v>34</v>
      </c>
      <c r="D2" s="4" t="s">
        <v>36</v>
      </c>
      <c r="E2" s="4" t="s">
        <v>38</v>
      </c>
      <c r="F2" s="4" t="s">
        <v>40</v>
      </c>
      <c r="G2" s="4" t="s">
        <v>34</v>
      </c>
      <c r="H2" s="4" t="s">
        <v>38</v>
      </c>
      <c r="I2" s="4" t="s">
        <v>36</v>
      </c>
      <c r="J2" s="4" t="s">
        <v>34</v>
      </c>
      <c r="K2" s="4" t="s">
        <v>40</v>
      </c>
      <c r="L2" s="4" t="s">
        <v>38</v>
      </c>
      <c r="M2" s="5" t="n">
        <f aca="false">IF(C2=MC_AnswerKey!$B$2,MC_AnswerKey!$C$2,0)+IF(D2=MC_AnswerKey!$B$3,MC_AnswerKey!$C$3,0)+IF(E2=MC_AnswerKey!$B$4,MC_AnswerKey!$C$4,0)+IF(F2=MC_AnswerKey!$B$5,MC_AnswerKey!$C$5,0)+IF(G2=MC_AnswerKey!$B$6,MC_AnswerKey!$C$6,0)+IF(H2=MC_AnswerKey!$B$7,MC_AnswerKey!$C$7,0)+IF(I2=MC_AnswerKey!$B$8,MC_AnswerKey!$C$8,0)+IF(J2=MC_AnswerKey!$B$9,MC_AnswerKey!$C$9,0)+IF(K2=MC_AnswerKey!$B$10,MC_AnswerKey!$C$10,0)+IF(L2=MC_AnswerKey!$B$11,MC_AnswerKey!$C$11,0)</f>
        <v>10</v>
      </c>
      <c r="N2" s="5" t="n">
        <f aca="false">SUM(MC_AnswerKey!$C$2:$C$11)</f>
        <v>10</v>
      </c>
      <c r="O2" s="6" t="n">
        <f aca="false">IF(N2&gt;0,M2/N2,0)</f>
        <v>1</v>
      </c>
      <c r="P2" s="5" t="str">
        <f aca="false">IF(O2&gt;=0.9,"Excellent!",IF(O2&gt;=0.7,"Good job!",IF(O2&gt;=0.5,"Needs improvement","Please review")))</f>
        <v>Excellent!</v>
      </c>
    </row>
    <row r="3" customFormat="false" ht="15" hidden="false" customHeight="false" outlineLevel="0" collapsed="false">
      <c r="A3" s="4" t="s">
        <v>55</v>
      </c>
      <c r="B3" s="4" t="s">
        <v>56</v>
      </c>
      <c r="C3" s="4" t="s">
        <v>34</v>
      </c>
      <c r="D3" s="4" t="s">
        <v>38</v>
      </c>
      <c r="E3" s="4" t="s">
        <v>38</v>
      </c>
      <c r="F3" s="4" t="s">
        <v>40</v>
      </c>
      <c r="G3" s="4" t="s">
        <v>36</v>
      </c>
      <c r="H3" s="4" t="s">
        <v>38</v>
      </c>
      <c r="I3" s="4" t="s">
        <v>36</v>
      </c>
      <c r="J3" s="4" t="s">
        <v>34</v>
      </c>
      <c r="K3" s="4" t="s">
        <v>40</v>
      </c>
      <c r="L3" s="4" t="s">
        <v>38</v>
      </c>
      <c r="M3" s="5" t="n">
        <f aca="false">IF(C3=MC_AnswerKey!$B$2,MC_AnswerKey!$C$2,0)+IF(D3=MC_AnswerKey!$B$3,MC_AnswerKey!$C$3,0)+IF(E3=MC_AnswerKey!$B$4,MC_AnswerKey!$C$4,0)+IF(F3=MC_AnswerKey!$B$5,MC_AnswerKey!$C$5,0)+IF(G3=MC_AnswerKey!$B$6,MC_AnswerKey!$C$6,0)+IF(H3=MC_AnswerKey!$B$7,MC_AnswerKey!$C$7,0)+IF(I3=MC_AnswerKey!$B$8,MC_AnswerKey!$C$8,0)+IF(J3=MC_AnswerKey!$B$9,MC_AnswerKey!$C$9,0)+IF(K3=MC_AnswerKey!$B$10,MC_AnswerKey!$C$10,0)+IF(L3=MC_AnswerKey!$B$11,MC_AnswerKey!$C$11,0)</f>
        <v>8</v>
      </c>
      <c r="N3" s="5" t="n">
        <f aca="false">SUM(MC_AnswerKey!$C$2:$C$11)</f>
        <v>10</v>
      </c>
      <c r="O3" s="6" t="n">
        <f aca="false">IF(N3&gt;0,M3/N3,0)</f>
        <v>0.8</v>
      </c>
      <c r="P3" s="5" t="str">
        <f aca="false">IF(O3&gt;=0.9,"Excellent!",IF(O3&gt;=0.7,"Good job!",IF(O3&gt;=0.5,"Needs improvement","Please review")))</f>
        <v>Good job!</v>
      </c>
    </row>
    <row r="4" customFormat="false" ht="15" hidden="false" customHeight="false" outlineLevel="0" collapsed="false">
      <c r="A4" s="4" t="s">
        <v>57</v>
      </c>
      <c r="B4" s="4" t="s">
        <v>58</v>
      </c>
      <c r="C4" s="4" t="s">
        <v>34</v>
      </c>
      <c r="D4" s="4" t="s">
        <v>36</v>
      </c>
      <c r="E4" s="4" t="s">
        <v>34</v>
      </c>
      <c r="F4" s="4" t="s">
        <v>40</v>
      </c>
      <c r="G4" s="4" t="s">
        <v>34</v>
      </c>
      <c r="H4" s="4" t="s">
        <v>34</v>
      </c>
      <c r="I4" s="4" t="s">
        <v>36</v>
      </c>
      <c r="J4" s="4" t="s">
        <v>38</v>
      </c>
      <c r="K4" s="4" t="s">
        <v>40</v>
      </c>
      <c r="L4" s="4" t="s">
        <v>38</v>
      </c>
      <c r="M4" s="5" t="n">
        <f aca="false">IF(C4=MC_AnswerKey!$B$2,MC_AnswerKey!$C$2,0)+IF(D4=MC_AnswerKey!$B$3,MC_AnswerKey!$C$3,0)+IF(E4=MC_AnswerKey!$B$4,MC_AnswerKey!$C$4,0)+IF(F4=MC_AnswerKey!$B$5,MC_AnswerKey!$C$5,0)+IF(G4=MC_AnswerKey!$B$6,MC_AnswerKey!$C$6,0)+IF(H4=MC_AnswerKey!$B$7,MC_AnswerKey!$C$7,0)+IF(I4=MC_AnswerKey!$B$8,MC_AnswerKey!$C$8,0)+IF(J4=MC_AnswerKey!$B$9,MC_AnswerKey!$C$9,0)+IF(K4=MC_AnswerKey!$B$10,MC_AnswerKey!$C$10,0)+IF(L4=MC_AnswerKey!$B$11,MC_AnswerKey!$C$11,0)</f>
        <v>7</v>
      </c>
      <c r="N4" s="5" t="n">
        <f aca="false">SUM(MC_AnswerKey!$C$2:$C$11)</f>
        <v>10</v>
      </c>
      <c r="O4" s="6" t="n">
        <f aca="false">IF(N4&gt;0,M4/N4,0)</f>
        <v>0.7</v>
      </c>
      <c r="P4" s="5" t="str">
        <f aca="false">IF(O4&gt;=0.9,"Excellent!",IF(O4&gt;=0.7,"Good job!",IF(O4&gt;=0.5,"Needs improvement","Please review")))</f>
        <v>Good job!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59</v>
      </c>
      <c r="B1" s="3" t="s">
        <v>60</v>
      </c>
      <c r="C1" s="3" t="s">
        <v>61</v>
      </c>
    </row>
    <row r="2" customFormat="false" ht="15" hidden="false" customHeight="false" outlineLevel="0" collapsed="false">
      <c r="A2" s="4" t="s">
        <v>62</v>
      </c>
      <c r="B2" s="4" t="n">
        <v>40</v>
      </c>
      <c r="C2" s="4" t="s">
        <v>63</v>
      </c>
    </row>
    <row r="3" customFormat="false" ht="15" hidden="false" customHeight="false" outlineLevel="0" collapsed="false">
      <c r="A3" s="4" t="s">
        <v>64</v>
      </c>
      <c r="B3" s="4" t="n">
        <v>20</v>
      </c>
      <c r="C3" s="4" t="s">
        <v>65</v>
      </c>
    </row>
    <row r="4" customFormat="false" ht="15" hidden="false" customHeight="false" outlineLevel="0" collapsed="false">
      <c r="A4" s="4" t="s">
        <v>66</v>
      </c>
      <c r="B4" s="4" t="n">
        <v>20</v>
      </c>
      <c r="C4" s="4" t="s">
        <v>67</v>
      </c>
    </row>
    <row r="5" customFormat="false" ht="15" hidden="false" customHeight="false" outlineLevel="0" collapsed="false">
      <c r="A5" s="4" t="s">
        <v>68</v>
      </c>
      <c r="B5" s="4" t="n">
        <v>20</v>
      </c>
      <c r="C5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3" t="s">
        <v>47</v>
      </c>
      <c r="B1" s="3" t="s">
        <v>70</v>
      </c>
      <c r="C1" s="3" t="s">
        <v>71</v>
      </c>
      <c r="D1" s="3" t="s">
        <v>49</v>
      </c>
      <c r="E1" s="3" t="s">
        <v>52</v>
      </c>
      <c r="F1" s="3" t="s">
        <v>72</v>
      </c>
    </row>
    <row r="2" customFormat="false" ht="15" hidden="false" customHeight="false" outlineLevel="0" collapsed="false">
      <c r="A2" s="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2026-02-10T05:21:58Z</dcterms:created>
  <dc:creator>openpyxl</dc:creator>
  <dc:description/>
  <dc:language>en-US</dc:language>
  <cp:lastModifiedBy/>
  <dcterms:modified xsi:type="dcterms:W3CDTF">2026-02-10T05:21:58Z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